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40513\Desktop\iyiRP\excelChat\"/>
    </mc:Choice>
  </mc:AlternateContent>
  <xr:revisionPtr revIDLastSave="0" documentId="13_ncr:1_{8C119619-8B87-44F0-A8C3-AB77895091E4}" xr6:coauthVersionLast="36" xr6:coauthVersionMax="46" xr10:uidLastSave="{00000000-0000-0000-0000-000000000000}"/>
  <bookViews>
    <workbookView xWindow="0" yWindow="0" windowWidth="28800" windowHeight="12225" tabRatio="747" firstSheet="2" activeTab="2" xr2:uid="{C1151483-6BDE-4D6D-B0C5-2CF20B51F9BE}"/>
  </bookViews>
  <sheets>
    <sheet name="user" sheetId="26" state="hidden" r:id="rId1"/>
    <sheet name="CHAT" sheetId="71" state="hidden" r:id="rId2"/>
    <sheet name="GRAPHQL_API" sheetId="72" r:id="rId3"/>
    <sheet name="--notlar--" sheetId="17" state="hidden" r:id="rId4"/>
    <sheet name="editor1" sheetId="73" state="hidden" r:id="rId5"/>
    <sheet name="tools" sheetId="4" state="hidden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8" i="73" l="1"/>
  <c r="I18" i="73" s="1"/>
  <c r="H17" i="73"/>
  <c r="I17" i="73" s="1"/>
  <c r="H16" i="73"/>
  <c r="I16" i="73" s="1"/>
  <c r="H15" i="73"/>
  <c r="I15" i="73" s="1"/>
  <c r="H14" i="73"/>
  <c r="I14" i="73" s="1"/>
  <c r="H11" i="73"/>
  <c r="I11" i="73" s="1"/>
  <c r="O11" i="73" s="1"/>
  <c r="H10" i="73"/>
  <c r="I10" i="73" s="1"/>
  <c r="O10" i="73" s="1"/>
  <c r="H9" i="73"/>
  <c r="I9" i="73" s="1"/>
  <c r="O9" i="73" s="1"/>
  <c r="H8" i="73"/>
  <c r="I8" i="73" s="1"/>
  <c r="O8" i="73" s="1"/>
  <c r="H7" i="73"/>
  <c r="I7" i="73" s="1"/>
  <c r="O7" i="73" s="1"/>
  <c r="H6" i="73"/>
  <c r="I6" i="73" s="1"/>
  <c r="O6" i="73" s="1"/>
  <c r="H5" i="73"/>
  <c r="I5" i="73" s="1"/>
  <c r="O5" i="73" s="1"/>
  <c r="L8" i="17"/>
  <c r="D2" i="71"/>
  <c r="O17" i="73" l="1"/>
  <c r="M17" i="73"/>
  <c r="O18" i="73"/>
  <c r="M18" i="73"/>
  <c r="O15" i="73"/>
  <c r="M15" i="73"/>
  <c r="O14" i="73"/>
  <c r="M14" i="73"/>
  <c r="O16" i="73"/>
  <c r="M16" i="73"/>
  <c r="M5" i="73"/>
  <c r="M9" i="73"/>
  <c r="M11" i="73"/>
  <c r="M7" i="73"/>
  <c r="M8" i="73"/>
  <c r="M10" i="73"/>
  <c r="M6" i="73"/>
</calcChain>
</file>

<file path=xl/sharedStrings.xml><?xml version="1.0" encoding="utf-8"?>
<sst xmlns="http://schemas.openxmlformats.org/spreadsheetml/2006/main" count="150" uniqueCount="70">
  <si>
    <t>sinir</t>
  </si>
  <si>
    <t>ust</t>
  </si>
  <si>
    <t>alt</t>
  </si>
  <si>
    <t>as</t>
  </si>
  <si>
    <t>c</t>
  </si>
  <si>
    <t>wbs_Fonk - gizleyerek silme fonksiyonları en son - Hakediş Format - rev-13 de var</t>
  </si>
  <si>
    <t>düzeltileceker</t>
  </si>
  <si>
    <t>-silerken üst seviyeye geçince seçili satır kayboluyor</t>
  </si>
  <si>
    <t>login</t>
  </si>
  <si>
    <t>URL</t>
  </si>
  <si>
    <t>API-KEY</t>
  </si>
  <si>
    <t>Kullanıcı Mail</t>
  </si>
  <si>
    <t>Gecici Key</t>
  </si>
  <si>
    <t>bas</t>
  </si>
  <si>
    <t>son</t>
  </si>
  <si>
    <t>BİLİNMESİ GEREKENLER</t>
  </si>
  <si>
    <t>-WBS / LBS - ilk parentleri db de ya da kontrollü başka bir şekilde manuel oluşturuyoruz, daha sonra tüm sorgularda parent id HEADER kısmında olmalı</t>
  </si>
  <si>
    <t>baslik</t>
  </si>
  <si>
    <t>mahal-poz  --   sekmesinde "mahaller" otomatik yenilensin, mahal sekmei güncellendiğinde o da güncellensin</t>
  </si>
  <si>
    <t>metraj - sekmesindeki mahallerde otomatik yenilensin - her sekme aktif edildiğinde olabilir - sorgu yerine excel sekmesinden de olabilir</t>
  </si>
  <si>
    <t>mmahmutkaya@gmail.com</t>
  </si>
  <si>
    <t>gizli</t>
  </si>
  <si>
    <t>RunningMode</t>
  </si>
  <si>
    <t>nick</t>
  </si>
  <si>
    <t>time</t>
  </si>
  <si>
    <t>message</t>
  </si>
  <si>
    <t>LCrBp0o4GKLRM0SkyIuoqXgRyooCZ4ZEklBYuudaGRNZNQR07QbM1WLAWo3MRwlW</t>
  </si>
  <si>
    <t>https://eu-west-1.aws.data.mongodb-api.com/app/excelchat-nsdve/endpoint/</t>
  </si>
  <si>
    <t>nick2</t>
  </si>
  <si>
    <t>time2</t>
  </si>
  <si>
    <t>written by</t>
  </si>
  <si>
    <t>messages</t>
  </si>
  <si>
    <t>...enter your text here</t>
  </si>
  <si>
    <t>this is my first message</t>
  </si>
  <si>
    <t>You can text your messages here to test the system</t>
  </si>
  <si>
    <t>mahmut.kaya@gapinsaat.com</t>
  </si>
  <si>
    <t>This is my another email address to try the system</t>
  </si>
  <si>
    <t>name</t>
  </si>
  <si>
    <t>native</t>
  </si>
  <si>
    <t>capital</t>
  </si>
  <si>
    <t>emoji</t>
  </si>
  <si>
    <t>currency</t>
  </si>
  <si>
    <t>NAME</t>
  </si>
  <si>
    <t>NATIVE</t>
  </si>
  <si>
    <t>CAPITAL</t>
  </si>
  <si>
    <t>EMOJI</t>
  </si>
  <si>
    <t>CURRENCY</t>
  </si>
  <si>
    <t>LANGUAGES CODE</t>
  </si>
  <si>
    <t>LANGUAGES NAME</t>
  </si>
  <si>
    <t>key</t>
  </si>
  <si>
    <t>value</t>
  </si>
  <si>
    <t>Private</t>
  </si>
  <si>
    <t>Long</t>
  </si>
  <si>
    <t>r</t>
  </si>
  <si>
    <t>ustBaslik</t>
  </si>
  <si>
    <t>solBaslik</t>
  </si>
  <si>
    <t>languageCode</t>
  </si>
  <si>
    <t>languageName</t>
  </si>
  <si>
    <t>https://countries.trevorblades.com/graphql</t>
  </si>
  <si>
    <t>*This application gets data from a GRAPHQL API - (http address given the below)</t>
  </si>
  <si>
    <t>Enter the country ALPHA-2 code  --&gt;</t>
  </si>
  <si>
    <t>https://country-code.cl/</t>
  </si>
  <si>
    <t>To see all country code list visit the web site below</t>
  </si>
  <si>
    <t>US</t>
  </si>
  <si>
    <t>United States</t>
  </si>
  <si>
    <t>Washington D.C.</t>
  </si>
  <si>
    <t>🇺🇸</t>
  </si>
  <si>
    <t>USD,USN,USS</t>
  </si>
  <si>
    <t>en</t>
  </si>
  <si>
    <t>English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</si>
</sst>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:ss"/>
  </numFmts>
  <fonts count="7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u/>
      <sz val="11"/>
      <color theme="10"/>
      <name val="Calibri"/>
      <family val="2"/>
      <charset val="162"/>
      <scheme val="minor"/>
    </font>
    <font>
      <b/>
      <sz val="11"/>
      <color rgb="FFC00000"/>
      <name val="Calibri"/>
      <family val="2"/>
      <charset val="162"/>
      <scheme val="minor"/>
    </font>
    <font>
      <sz val="11"/>
      <color rgb="FFC00000"/>
      <name val="Calibri"/>
      <family val="2"/>
      <charset val="16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7D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37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/>
    <xf numFmtId="0" fontId="0" fillId="0" borderId="0" xfId="0" applyFill="1"/>
    <xf numFmtId="0" fontId="3" fillId="0" borderId="0" xfId="0" applyFont="1" applyAlignment="1" applyProtection="1">
      <alignment horizontal="center" vertical="center"/>
      <protection locked="0"/>
    </xf>
    <xf numFmtId="0" fontId="0" fillId="3" borderId="0" xfId="0" applyFill="1"/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Fill="1" applyProtection="1">
      <protection locked="0"/>
    </xf>
    <xf numFmtId="0" fontId="4" fillId="0" borderId="0" xfId="2" applyProtection="1">
      <protection locked="0"/>
    </xf>
    <xf numFmtId="0" fontId="4" fillId="0" borderId="0" xfId="2" applyFill="1" applyProtection="1">
      <protection locked="0"/>
    </xf>
    <xf numFmtId="0" fontId="4" fillId="0" borderId="0" xfId="2" applyAlignment="1" applyProtection="1">
      <alignment horizontal="left"/>
      <protection locked="0"/>
    </xf>
    <xf numFmtId="0" fontId="4" fillId="0" borderId="0" xfId="2" applyFill="1"/>
    <xf numFmtId="22" fontId="0" fillId="0" borderId="0" xfId="0" applyNumberFormat="1" applyAlignment="1">
      <alignment horizontal="center"/>
    </xf>
    <xf numFmtId="0" fontId="2" fillId="4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164" fontId="3" fillId="0" borderId="0" xfId="0" applyNumberFormat="1" applyFont="1" applyAlignment="1">
      <alignment horizontal="center"/>
    </xf>
    <xf numFmtId="22" fontId="0" fillId="5" borderId="0" xfId="0" applyNumberFormat="1" applyFill="1" applyAlignment="1">
      <alignment horizontal="center"/>
    </xf>
    <xf numFmtId="0" fontId="0" fillId="5" borderId="0" xfId="0" applyFill="1" applyProtection="1">
      <protection locked="0"/>
    </xf>
    <xf numFmtId="0" fontId="5" fillId="0" borderId="0" xfId="0" applyFont="1" applyAlignment="1">
      <alignment horizontal="center"/>
    </xf>
    <xf numFmtId="0" fontId="0" fillId="0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22" fontId="0" fillId="6" borderId="0" xfId="0" applyNumberFormat="1" applyFill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5" borderId="0" xfId="0" applyFill="1"/>
    <xf numFmtId="0" fontId="6" fillId="0" borderId="0" xfId="0" applyFont="1"/>
    <xf numFmtId="0" fontId="0" fillId="7" borderId="0" xfId="0" applyFill="1"/>
    <xf numFmtId="0" fontId="0" fillId="0" borderId="0" xfId="0" applyAlignment="1"/>
    <xf numFmtId="0" fontId="5" fillId="0" borderId="0" xfId="0" applyFont="1" applyFill="1" applyAlignment="1">
      <alignment horizontal="center"/>
    </xf>
    <xf numFmtId="0" fontId="4" fillId="0" borderId="0" xfId="2" applyAlignment="1"/>
    <xf numFmtId="0" fontId="4" fillId="0" borderId="0" xfId="2" applyFill="1" applyAlignment="1">
      <alignment horizontal="center"/>
    </xf>
    <xf numFmtId="22" fontId="5" fillId="0" borderId="0" xfId="0" applyNumberFormat="1" applyFont="1" applyFill="1" applyAlignment="1" applyProtection="1">
      <alignment horizontal="center"/>
      <protection locked="0"/>
    </xf>
    <xf numFmtId="22" fontId="5" fillId="8" borderId="0" xfId="0" applyNumberFormat="1" applyFont="1" applyFill="1" applyAlignment="1" applyProtection="1">
      <alignment horizontal="center"/>
      <protection locked="0"/>
    </xf>
  </cellXfs>
  <cellStyles count="3">
    <cellStyle name="Hyperlink" xfId="2" builtinId="8"/>
    <cellStyle name="Normal" xfId="0" builtinId="0"/>
    <cellStyle name="Normal 2" xfId="1" xr:uid="{297090DC-A062-4FA2-977B-07AE88C8281F}"/>
  </cellStyles>
  <dxfs count="0"/>
  <tableStyles count="0" defaultTableStyle="TableStyleMedium2" defaultPivotStyle="PivotStyleLight16"/>
  <colors>
    <mruColors>
      <color rgb="FFFFFF97"/>
      <color rgb="FFFFE593"/>
      <color rgb="FFE2E2E2"/>
      <color rgb="FFB9EDFF"/>
      <color rgb="FF97E4FF"/>
      <color rgb="FFF1CBCB"/>
      <color rgb="FFFFF0C1"/>
      <color rgb="FFFFEBAB"/>
      <color rgb="FFFFE07D"/>
      <color rgb="FFFFFF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142875</xdr:colOff>
      <xdr:row>2</xdr:row>
      <xdr:rowOff>123825</xdr:rowOff>
    </xdr:from>
    <xdr:to>
      <xdr:col>7</xdr:col>
      <xdr:colOff>161925</xdr:colOff>
      <xdr:row>4</xdr:row>
      <xdr:rowOff>47625</xdr:rowOff>
    </xdr:to>
    <xdr:sp macro="[0]!login2" textlink="">
      <xdr:nvSpPr>
        <xdr:cNvPr id="4" name="Rectangle 3">
          <a:extLst>
            <a:ext uri="{FF2B5EF4-FFF2-40B4-BE49-F238E27FC236}">
              <a16:creationId xmlns:a16="http://schemas.microsoft.com/office/drawing/2014/main" id="{31EDE7DB-7382-40A8-9C83-2E51E92766BC}"/>
            </a:ext>
          </a:extLst>
        </xdr:cNvPr>
        <xdr:cNvSpPr/>
      </xdr:nvSpPr>
      <xdr:spPr>
        <a:xfrm>
          <a:off x="752475" y="504825"/>
          <a:ext cx="1847850" cy="304800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 b="1"/>
            <a:t>LOGIN / SIGN UP</a:t>
          </a:r>
        </a:p>
      </xdr:txBody>
    </xdr:sp>
    <xdr:clientData/>
  </xdr:twoCellAnchor>
  <xdr:twoCellAnchor>
    <xdr:from>
      <xdr:col>3</xdr:col>
      <xdr:colOff>76200</xdr:colOff>
      <xdr:row>0</xdr:row>
      <xdr:rowOff>76200</xdr:rowOff>
    </xdr:from>
    <xdr:to>
      <xdr:col>3</xdr:col>
      <xdr:colOff>542925</xdr:colOff>
      <xdr:row>1</xdr:row>
      <xdr:rowOff>104775</xdr:rowOff>
    </xdr:to>
    <xdr:sp macro="[0]!A_login_Fonk_dev_Mode" textlink="">
      <xdr:nvSpPr>
        <xdr:cNvPr id="5" name="Rectangle 4">
          <a:extLst>
            <a:ext uri="{FF2B5EF4-FFF2-40B4-BE49-F238E27FC236}">
              <a16:creationId xmlns:a16="http://schemas.microsoft.com/office/drawing/2014/main" id="{4D27073D-3D94-4E12-85E8-ADF050D5B56B}"/>
            </a:ext>
          </a:extLst>
        </xdr:cNvPr>
        <xdr:cNvSpPr/>
      </xdr:nvSpPr>
      <xdr:spPr>
        <a:xfrm>
          <a:off x="76200" y="76200"/>
          <a:ext cx="466725" cy="219075"/>
        </a:xfrm>
        <a:prstGeom prst="rect">
          <a:avLst/>
        </a:prstGeom>
        <a:noFill/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 b="1">
              <a:solidFill>
                <a:schemeClr val="bg1">
                  <a:lumMod val="85000"/>
                </a:schemeClr>
              </a:solidFill>
            </a:rPr>
            <a:t>Dev</a:t>
          </a:r>
        </a:p>
      </xdr:txBody>
    </xdr:sp>
    <xdr:clientData/>
  </xdr:twoCellAnchor>
  <xdr:twoCellAnchor>
    <xdr:from>
      <xdr:col>3</xdr:col>
      <xdr:colOff>76200</xdr:colOff>
      <xdr:row>1</xdr:row>
      <xdr:rowOff>104775</xdr:rowOff>
    </xdr:from>
    <xdr:to>
      <xdr:col>3</xdr:col>
      <xdr:colOff>542925</xdr:colOff>
      <xdr:row>2</xdr:row>
      <xdr:rowOff>133350</xdr:rowOff>
    </xdr:to>
    <xdr:sp macro="[0]!A_login_Fonk_pro_Mode" textlink="">
      <xdr:nvSpPr>
        <xdr:cNvPr id="6" name="Rectangle 5">
          <a:extLst>
            <a:ext uri="{FF2B5EF4-FFF2-40B4-BE49-F238E27FC236}">
              <a16:creationId xmlns:a16="http://schemas.microsoft.com/office/drawing/2014/main" id="{F7801563-BBF5-4387-A500-EFED7C63D14E}"/>
            </a:ext>
          </a:extLst>
        </xdr:cNvPr>
        <xdr:cNvSpPr/>
      </xdr:nvSpPr>
      <xdr:spPr>
        <a:xfrm>
          <a:off x="76200" y="295275"/>
          <a:ext cx="466725" cy="219075"/>
        </a:xfrm>
        <a:prstGeom prst="rect">
          <a:avLst/>
        </a:prstGeom>
        <a:noFill/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 b="1">
              <a:solidFill>
                <a:schemeClr val="bg1">
                  <a:lumMod val="85000"/>
                </a:schemeClr>
              </a:solidFill>
            </a:rPr>
            <a:t>Pro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119062</xdr:colOff>
      <xdr:row>1</xdr:row>
      <xdr:rowOff>123824</xdr:rowOff>
    </xdr:from>
    <xdr:to>
      <xdr:col>6</xdr:col>
      <xdr:colOff>123824</xdr:colOff>
      <xdr:row>3</xdr:row>
      <xdr:rowOff>52387</xdr:rowOff>
    </xdr:to>
    <xdr:sp macro="[0]!CHAT_UPDATE" textlink="">
      <xdr:nvSpPr>
        <xdr:cNvPr id="2" name="Rectangle 1">
          <a:extLst>
            <a:ext uri="{FF2B5EF4-FFF2-40B4-BE49-F238E27FC236}">
              <a16:creationId xmlns:a16="http://schemas.microsoft.com/office/drawing/2014/main" id="{1A6CC263-5EAF-4B49-9FFD-7E78DBB2A9F6}"/>
            </a:ext>
          </a:extLst>
        </xdr:cNvPr>
        <xdr:cNvSpPr/>
      </xdr:nvSpPr>
      <xdr:spPr>
        <a:xfrm>
          <a:off x="8796337" y="323849"/>
          <a:ext cx="1176337" cy="30956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en-US" sz="1100" b="1"/>
            <a:t>SEND</a:t>
          </a:r>
          <a:r>
            <a:rPr lang="en-US" sz="1100" b="1" baseline="0"/>
            <a:t> / UPDATE</a:t>
          </a:r>
          <a:endParaRPr lang="tr-TR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209549</xdr:colOff>
      <xdr:row>1</xdr:row>
      <xdr:rowOff>142875</xdr:rowOff>
    </xdr:from>
    <xdr:to>
      <xdr:col>5</xdr:col>
      <xdr:colOff>600074</xdr:colOff>
      <xdr:row>3</xdr:row>
      <xdr:rowOff>38100</xdr:rowOff>
    </xdr:to>
    <xdr:sp macro="[0]!GRAPHQL_API_UPDATE" textlink="">
      <xdr:nvSpPr>
        <xdr:cNvPr id="3" name="Rectangle 2">
          <a:extLst>
            <a:ext uri="{FF2B5EF4-FFF2-40B4-BE49-F238E27FC236}">
              <a16:creationId xmlns:a16="http://schemas.microsoft.com/office/drawing/2014/main" id="{D5A37D8A-AB20-4B29-B22E-010D32AAF5FE}"/>
            </a:ext>
          </a:extLst>
        </xdr:cNvPr>
        <xdr:cNvSpPr/>
      </xdr:nvSpPr>
      <xdr:spPr>
        <a:xfrm>
          <a:off x="6419849" y="342900"/>
          <a:ext cx="866775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UPDATE</a:t>
          </a:r>
          <a:endParaRPr lang="tr-TR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570191</xdr:colOff>
      <xdr:row>3</xdr:row>
      <xdr:rowOff>175345</xdr:rowOff>
    </xdr:from>
    <xdr:to>
      <xdr:col>3</xdr:col>
      <xdr:colOff>211933</xdr:colOff>
      <xdr:row>5</xdr:row>
      <xdr:rowOff>43457</xdr:rowOff>
    </xdr:to>
    <xdr:sp macro="" textlink="">
      <xdr:nvSpPr>
        <xdr:cNvPr id="2" name="s2_yukari">
          <a:extLst>
            <a:ext uri="{FF2B5EF4-FFF2-40B4-BE49-F238E27FC236}">
              <a16:creationId xmlns:a16="http://schemas.microsoft.com/office/drawing/2014/main" id="{9A04F5EF-129D-4E5D-B7EA-DF64F5A8B7B1}"/>
            </a:ext>
          </a:extLst>
        </xdr:cNvPr>
        <xdr:cNvSpPr/>
      </xdr:nvSpPr>
      <xdr:spPr>
        <a:xfrm>
          <a:off x="1789391" y="746845"/>
          <a:ext cx="251342" cy="249112"/>
        </a:xfrm>
        <a:prstGeom prst="upArrow">
          <a:avLst>
            <a:gd name="adj1" fmla="val 50000"/>
            <a:gd name="adj2" fmla="val 47059"/>
          </a:avLst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252641</xdr:colOff>
      <xdr:row>3</xdr:row>
      <xdr:rowOff>188589</xdr:rowOff>
    </xdr:from>
    <xdr:to>
      <xdr:col>3</xdr:col>
      <xdr:colOff>503985</xdr:colOff>
      <xdr:row>5</xdr:row>
      <xdr:rowOff>56701</xdr:rowOff>
    </xdr:to>
    <xdr:sp macro="" textlink="">
      <xdr:nvSpPr>
        <xdr:cNvPr id="3" name="s2_asagi">
          <a:extLst>
            <a:ext uri="{FF2B5EF4-FFF2-40B4-BE49-F238E27FC236}">
              <a16:creationId xmlns:a16="http://schemas.microsoft.com/office/drawing/2014/main" id="{19B5315B-08CF-4AA4-A5FE-E5F651026B6C}"/>
            </a:ext>
          </a:extLst>
        </xdr:cNvPr>
        <xdr:cNvSpPr/>
      </xdr:nvSpPr>
      <xdr:spPr>
        <a:xfrm rot="10800000">
          <a:off x="2081441" y="760089"/>
          <a:ext cx="251344" cy="249112"/>
        </a:xfrm>
        <a:prstGeom prst="upArrow">
          <a:avLst>
            <a:gd name="adj1" fmla="val 50000"/>
            <a:gd name="adj2" fmla="val 47059"/>
          </a:avLst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278143</xdr:colOff>
      <xdr:row>3</xdr:row>
      <xdr:rowOff>175345</xdr:rowOff>
    </xdr:from>
    <xdr:to>
      <xdr:col>2</xdr:col>
      <xdr:colOff>529487</xdr:colOff>
      <xdr:row>5</xdr:row>
      <xdr:rowOff>43457</xdr:rowOff>
    </xdr:to>
    <xdr:sp macro="" textlink="">
      <xdr:nvSpPr>
        <xdr:cNvPr id="4" name="s2_sil">
          <a:extLst>
            <a:ext uri="{FF2B5EF4-FFF2-40B4-BE49-F238E27FC236}">
              <a16:creationId xmlns:a16="http://schemas.microsoft.com/office/drawing/2014/main" id="{BFB9212A-5EF7-45AF-91BB-07E0057B1FD6}"/>
            </a:ext>
          </a:extLst>
        </xdr:cNvPr>
        <xdr:cNvSpPr/>
      </xdr:nvSpPr>
      <xdr:spPr>
        <a:xfrm>
          <a:off x="1497343" y="746845"/>
          <a:ext cx="251344" cy="249112"/>
        </a:xfrm>
        <a:prstGeom prst="noSmoking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523875</xdr:colOff>
      <xdr:row>3</xdr:row>
      <xdr:rowOff>142876</xdr:rowOff>
    </xdr:from>
    <xdr:to>
      <xdr:col>2</xdr:col>
      <xdr:colOff>237428</xdr:colOff>
      <xdr:row>5</xdr:row>
      <xdr:rowOff>82163</xdr:rowOff>
    </xdr:to>
    <xdr:sp macro="" textlink="">
      <xdr:nvSpPr>
        <xdr:cNvPr id="5" name="s2_ekle">
          <a:extLst>
            <a:ext uri="{FF2B5EF4-FFF2-40B4-BE49-F238E27FC236}">
              <a16:creationId xmlns:a16="http://schemas.microsoft.com/office/drawing/2014/main" id="{0BCB1211-8A57-4390-AE66-B3EE08D3E976}"/>
            </a:ext>
          </a:extLst>
        </xdr:cNvPr>
        <xdr:cNvSpPr/>
      </xdr:nvSpPr>
      <xdr:spPr>
        <a:xfrm>
          <a:off x="1133475" y="714376"/>
          <a:ext cx="323153" cy="320287"/>
        </a:xfrm>
        <a:prstGeom prst="mathPlus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323369</xdr:colOff>
      <xdr:row>3</xdr:row>
      <xdr:rowOff>175344</xdr:rowOff>
    </xdr:from>
    <xdr:to>
      <xdr:col>5</xdr:col>
      <xdr:colOff>574711</xdr:colOff>
      <xdr:row>5</xdr:row>
      <xdr:rowOff>43456</xdr:rowOff>
    </xdr:to>
    <xdr:sp macro="" textlink="">
      <xdr:nvSpPr>
        <xdr:cNvPr id="6" name="s1_yukari">
          <a:extLst>
            <a:ext uri="{FF2B5EF4-FFF2-40B4-BE49-F238E27FC236}">
              <a16:creationId xmlns:a16="http://schemas.microsoft.com/office/drawing/2014/main" id="{97BBAD29-073D-46ED-A284-03C0585A30BC}"/>
            </a:ext>
          </a:extLst>
        </xdr:cNvPr>
        <xdr:cNvSpPr/>
      </xdr:nvSpPr>
      <xdr:spPr>
        <a:xfrm>
          <a:off x="3371369" y="746844"/>
          <a:ext cx="251342" cy="249112"/>
        </a:xfrm>
        <a:prstGeom prst="upArrow">
          <a:avLst>
            <a:gd name="adj1" fmla="val 50000"/>
            <a:gd name="adj2" fmla="val 47059"/>
          </a:avLst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5819</xdr:colOff>
      <xdr:row>3</xdr:row>
      <xdr:rowOff>188588</xdr:rowOff>
    </xdr:from>
    <xdr:to>
      <xdr:col>6</xdr:col>
      <xdr:colOff>257161</xdr:colOff>
      <xdr:row>5</xdr:row>
      <xdr:rowOff>56700</xdr:rowOff>
    </xdr:to>
    <xdr:sp macro="" textlink="">
      <xdr:nvSpPr>
        <xdr:cNvPr id="7" name="s1_asagi">
          <a:extLst>
            <a:ext uri="{FF2B5EF4-FFF2-40B4-BE49-F238E27FC236}">
              <a16:creationId xmlns:a16="http://schemas.microsoft.com/office/drawing/2014/main" id="{E9B26DC4-B720-4CC7-9381-3A40365FFCB7}"/>
            </a:ext>
          </a:extLst>
        </xdr:cNvPr>
        <xdr:cNvSpPr/>
      </xdr:nvSpPr>
      <xdr:spPr>
        <a:xfrm rot="10800000">
          <a:off x="3663419" y="760088"/>
          <a:ext cx="251342" cy="249112"/>
        </a:xfrm>
        <a:prstGeom prst="upArrow">
          <a:avLst>
            <a:gd name="adj1" fmla="val 50000"/>
            <a:gd name="adj2" fmla="val 47059"/>
          </a:avLst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31317</xdr:colOff>
      <xdr:row>3</xdr:row>
      <xdr:rowOff>175344</xdr:rowOff>
    </xdr:from>
    <xdr:to>
      <xdr:col>5</xdr:col>
      <xdr:colOff>282659</xdr:colOff>
      <xdr:row>5</xdr:row>
      <xdr:rowOff>43456</xdr:rowOff>
    </xdr:to>
    <xdr:sp macro="" textlink="">
      <xdr:nvSpPr>
        <xdr:cNvPr id="8" name="s1_sil">
          <a:extLst>
            <a:ext uri="{FF2B5EF4-FFF2-40B4-BE49-F238E27FC236}">
              <a16:creationId xmlns:a16="http://schemas.microsoft.com/office/drawing/2014/main" id="{C63EAD60-7F35-4E80-9EB2-770478F75C62}"/>
            </a:ext>
          </a:extLst>
        </xdr:cNvPr>
        <xdr:cNvSpPr/>
      </xdr:nvSpPr>
      <xdr:spPr>
        <a:xfrm>
          <a:off x="3079317" y="746844"/>
          <a:ext cx="251342" cy="249112"/>
        </a:xfrm>
        <a:prstGeom prst="noSmoking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277053</xdr:colOff>
      <xdr:row>3</xdr:row>
      <xdr:rowOff>142875</xdr:rowOff>
    </xdr:from>
    <xdr:to>
      <xdr:col>4</xdr:col>
      <xdr:colOff>600206</xdr:colOff>
      <xdr:row>5</xdr:row>
      <xdr:rowOff>82162</xdr:rowOff>
    </xdr:to>
    <xdr:sp macro="" textlink="">
      <xdr:nvSpPr>
        <xdr:cNvPr id="9" name="s1_ekle">
          <a:extLst>
            <a:ext uri="{FF2B5EF4-FFF2-40B4-BE49-F238E27FC236}">
              <a16:creationId xmlns:a16="http://schemas.microsoft.com/office/drawing/2014/main" id="{AF207650-A6CA-402C-972E-51915F3B4424}"/>
            </a:ext>
          </a:extLst>
        </xdr:cNvPr>
        <xdr:cNvSpPr/>
      </xdr:nvSpPr>
      <xdr:spPr>
        <a:xfrm>
          <a:off x="2715453" y="714375"/>
          <a:ext cx="323153" cy="320287"/>
        </a:xfrm>
        <a:prstGeom prst="mathPlus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eu-west-1.aws.data.mongodb-api.com/app/excelchat-nsdve/endpoint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country-code.cl/" TargetMode="External"/><Relationship Id="rId1" Type="http://schemas.openxmlformats.org/officeDocument/2006/relationships/hyperlink" Target="https://countries.trevorblades.com/graphql" TargetMode="External"/><Relationship Id="rId4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5444A-8459-4C87-829E-49D574686133}">
  <sheetPr codeName="Sheet6">
    <tabColor theme="1" tint="4.9989318521683403E-2"/>
  </sheetPr>
  <dimension ref="A1:E30"/>
  <sheetViews>
    <sheetView showGridLines="0" topLeftCell="D1" zoomScale="115" zoomScaleNormal="115" workbookViewId="0">
      <selection activeCell="E1" sqref="E1"/>
    </sheetView>
  </sheetViews>
  <sheetFormatPr defaultRowHeight="15" outlineLevelCol="1" x14ac:dyDescent="0.25"/>
  <cols>
    <col min="1" max="1" width="20.28515625" hidden="1" customWidth="1" outlineLevel="1"/>
    <col min="2" max="2" width="35" hidden="1" customWidth="1" outlineLevel="1"/>
    <col min="3" max="3" width="18.85546875" hidden="1" customWidth="1" outlineLevel="1"/>
    <col min="4" max="4" width="9.140625" collapsed="1"/>
    <col min="12" max="12" width="9.140625" customWidth="1"/>
  </cols>
  <sheetData>
    <row r="1" spans="1:5" x14ac:dyDescent="0.25">
      <c r="A1" s="8"/>
      <c r="B1" s="8"/>
      <c r="C1" s="8"/>
      <c r="E1" s="6"/>
    </row>
    <row r="2" spans="1:5" x14ac:dyDescent="0.25">
      <c r="A2" s="8" t="s">
        <v>8</v>
      </c>
      <c r="B2" s="9" t="b">
        <v>0</v>
      </c>
      <c r="C2" s="8"/>
    </row>
    <row r="3" spans="1:5" x14ac:dyDescent="0.25">
      <c r="A3" s="8"/>
      <c r="B3" s="9"/>
      <c r="C3" s="8"/>
    </row>
    <row r="4" spans="1:5" x14ac:dyDescent="0.25">
      <c r="A4" s="8" t="s">
        <v>9</v>
      </c>
      <c r="B4" s="14" t="s">
        <v>27</v>
      </c>
      <c r="C4" s="8"/>
    </row>
    <row r="5" spans="1:5" x14ac:dyDescent="0.25">
      <c r="A5" s="8" t="s">
        <v>10</v>
      </c>
      <c r="B5" s="10" t="s">
        <v>26</v>
      </c>
      <c r="C5" s="8"/>
    </row>
    <row r="6" spans="1:5" x14ac:dyDescent="0.25">
      <c r="A6" s="8"/>
      <c r="C6" s="8"/>
    </row>
    <row r="7" spans="1:5" x14ac:dyDescent="0.25">
      <c r="A7" s="8" t="s">
        <v>11</v>
      </c>
      <c r="B7" s="11" t="s">
        <v>20</v>
      </c>
      <c r="C7" s="12"/>
    </row>
    <row r="8" spans="1:5" x14ac:dyDescent="0.25">
      <c r="A8" s="8" t="s">
        <v>12</v>
      </c>
      <c r="B8" s="13"/>
      <c r="C8" s="12"/>
    </row>
    <row r="9" spans="1:5" x14ac:dyDescent="0.25">
      <c r="A9" s="8" t="s">
        <v>22</v>
      </c>
      <c r="B9" s="8"/>
      <c r="C9" s="8"/>
    </row>
    <row r="10" spans="1:5" x14ac:dyDescent="0.25">
      <c r="A10" s="8"/>
      <c r="B10" s="8"/>
      <c r="C10" s="8"/>
    </row>
    <row r="11" spans="1:5" x14ac:dyDescent="0.25">
      <c r="A11" s="8"/>
      <c r="B11" s="5"/>
      <c r="C11" s="8"/>
    </row>
    <row r="12" spans="1:5" x14ac:dyDescent="0.25">
      <c r="A12" s="8"/>
      <c r="B12" s="10"/>
      <c r="C12" s="8"/>
    </row>
    <row r="13" spans="1:5" x14ac:dyDescent="0.25">
      <c r="A13" s="8"/>
      <c r="B13" s="8"/>
      <c r="C13" s="8"/>
    </row>
    <row r="14" spans="1:5" x14ac:dyDescent="0.25">
      <c r="A14" s="8"/>
      <c r="B14" s="8"/>
      <c r="C14" s="8"/>
    </row>
    <row r="15" spans="1:5" x14ac:dyDescent="0.25">
      <c r="A15" s="8"/>
      <c r="B15" s="5"/>
      <c r="C15" s="8"/>
    </row>
    <row r="16" spans="1:5" x14ac:dyDescent="0.25">
      <c r="A16" s="8"/>
      <c r="B16" s="10"/>
      <c r="C16" s="8"/>
    </row>
    <row r="17" spans="1:3" x14ac:dyDescent="0.25">
      <c r="A17" s="8"/>
      <c r="B17" s="8"/>
      <c r="C17" s="8"/>
    </row>
    <row r="18" spans="1:3" x14ac:dyDescent="0.25">
      <c r="A18" s="8"/>
      <c r="B18" s="8"/>
      <c r="C18" s="8"/>
    </row>
    <row r="19" spans="1:3" x14ac:dyDescent="0.25">
      <c r="A19" s="8"/>
      <c r="B19" s="8"/>
      <c r="C19" s="8"/>
    </row>
    <row r="20" spans="1:3" x14ac:dyDescent="0.25">
      <c r="A20" s="8"/>
      <c r="B20" s="8"/>
      <c r="C20" s="8"/>
    </row>
    <row r="21" spans="1:3" x14ac:dyDescent="0.25">
      <c r="A21" s="8"/>
      <c r="B21" s="8"/>
      <c r="C21" s="8"/>
    </row>
    <row r="22" spans="1:3" x14ac:dyDescent="0.25">
      <c r="A22" s="8"/>
      <c r="B22" s="8"/>
      <c r="C22" s="8"/>
    </row>
    <row r="23" spans="1:3" x14ac:dyDescent="0.25">
      <c r="A23" s="8"/>
      <c r="B23" s="8"/>
      <c r="C23" s="8"/>
    </row>
    <row r="24" spans="1:3" x14ac:dyDescent="0.25">
      <c r="A24" s="8"/>
      <c r="B24" s="8"/>
      <c r="C24" s="8"/>
    </row>
    <row r="25" spans="1:3" x14ac:dyDescent="0.25">
      <c r="A25" s="8"/>
      <c r="B25" s="8"/>
      <c r="C25" s="8"/>
    </row>
    <row r="26" spans="1:3" x14ac:dyDescent="0.25">
      <c r="A26" s="8"/>
      <c r="B26" s="8"/>
      <c r="C26" s="8"/>
    </row>
    <row r="27" spans="1:3" x14ac:dyDescent="0.25">
      <c r="A27" s="8"/>
      <c r="B27" s="8"/>
      <c r="C27" s="8"/>
    </row>
    <row r="28" spans="1:3" x14ac:dyDescent="0.25">
      <c r="A28" s="8"/>
      <c r="B28" s="8"/>
      <c r="C28" s="8"/>
    </row>
    <row r="29" spans="1:3" x14ac:dyDescent="0.25">
      <c r="A29" s="8"/>
      <c r="B29" s="8"/>
      <c r="C29" s="8"/>
    </row>
    <row r="30" spans="1:3" x14ac:dyDescent="0.25">
      <c r="A30" s="8"/>
      <c r="B30" s="8"/>
      <c r="C30" s="8"/>
    </row>
  </sheetData>
  <sheetProtection autoFilter="0"/>
  <hyperlinks>
    <hyperlink ref="B4" r:id="rId1" xr:uid="{F108CC61-EA17-4BA0-BD55-71C3DB1CF031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337E4-A154-44D0-B6B5-2D2DBCED8FF5}">
  <sheetPr codeName="Sheet2">
    <tabColor rgb="FFFFC000"/>
  </sheetPr>
  <dimension ref="A1:I10"/>
  <sheetViews>
    <sheetView showGridLines="0" zoomScaleNormal="100" workbookViewId="0">
      <pane xSplit="2" ySplit="4" topLeftCell="C5" activePane="bottomRight" state="frozen"/>
      <selection pane="topRight" activeCell="C1" sqref="C1"/>
      <selection pane="bottomLeft" activeCell="A10" sqref="A10"/>
      <selection pane="bottomRight" activeCell="E14" sqref="E14"/>
    </sheetView>
  </sheetViews>
  <sheetFormatPr defaultRowHeight="15" x14ac:dyDescent="0.25"/>
  <cols>
    <col min="1" max="1" width="8.7109375" style="1" customWidth="1"/>
    <col min="2" max="2" width="6.140625" customWidth="1"/>
    <col min="3" max="3" width="35.28515625" style="3" customWidth="1"/>
    <col min="4" max="4" width="20.85546875" style="3" customWidth="1"/>
    <col min="5" max="5" width="59.140625" customWidth="1"/>
    <col min="6" max="6" width="17.5703125" customWidth="1"/>
    <col min="7" max="7" width="16.42578125" customWidth="1"/>
  </cols>
  <sheetData>
    <row r="1" spans="1:9" s="1" customFormat="1" ht="15.75" customHeight="1" x14ac:dyDescent="0.25">
      <c r="A1" s="18"/>
      <c r="B1" s="1" t="s">
        <v>13</v>
      </c>
      <c r="C1" s="2" t="s">
        <v>23</v>
      </c>
      <c r="D1" s="2" t="s">
        <v>24</v>
      </c>
      <c r="E1" s="1" t="s">
        <v>25</v>
      </c>
      <c r="F1" s="1" t="s">
        <v>28</v>
      </c>
      <c r="G1" s="1" t="s">
        <v>29</v>
      </c>
      <c r="H1" s="1" t="s">
        <v>14</v>
      </c>
      <c r="I1" s="1" t="s">
        <v>0</v>
      </c>
    </row>
    <row r="2" spans="1:9" x14ac:dyDescent="0.25">
      <c r="D2" s="21" t="str">
        <f>+GetTimeZoneAtPresent()</f>
        <v>(UTC+03:00) Istanbul</v>
      </c>
    </row>
    <row r="3" spans="1:9" x14ac:dyDescent="0.25">
      <c r="A3" s="1" t="s">
        <v>17</v>
      </c>
      <c r="C3" s="16" t="s">
        <v>30</v>
      </c>
      <c r="D3" s="16" t="s">
        <v>24</v>
      </c>
      <c r="E3" s="16" t="s">
        <v>31</v>
      </c>
    </row>
    <row r="4" spans="1:9" x14ac:dyDescent="0.25">
      <c r="A4" s="1" t="s">
        <v>1</v>
      </c>
    </row>
    <row r="5" spans="1:9" x14ac:dyDescent="0.25">
      <c r="C5" s="3" t="s">
        <v>20</v>
      </c>
      <c r="D5" s="15">
        <v>44872.741701388892</v>
      </c>
      <c r="E5" t="s">
        <v>33</v>
      </c>
    </row>
    <row r="6" spans="1:9" x14ac:dyDescent="0.25">
      <c r="C6" s="3" t="s">
        <v>20</v>
      </c>
      <c r="D6" s="15">
        <v>44872.74255787037</v>
      </c>
      <c r="E6" t="s">
        <v>34</v>
      </c>
    </row>
    <row r="7" spans="1:9" x14ac:dyDescent="0.25">
      <c r="C7" s="3" t="s">
        <v>35</v>
      </c>
      <c r="D7" s="15">
        <v>44872.747152777774</v>
      </c>
      <c r="E7" t="s">
        <v>36</v>
      </c>
    </row>
    <row r="8" spans="1:9" x14ac:dyDescent="0.25">
      <c r="C8" s="17"/>
      <c r="D8" s="19"/>
      <c r="E8" s="20" t="s">
        <v>32</v>
      </c>
    </row>
    <row r="9" spans="1:9" x14ac:dyDescent="0.25">
      <c r="A9" s="1" t="s">
        <v>2</v>
      </c>
      <c r="C9"/>
      <c r="D9"/>
    </row>
    <row r="10" spans="1:9" x14ac:dyDescent="0.25">
      <c r="A10" s="1" t="s">
        <v>0</v>
      </c>
    </row>
  </sheetData>
  <sheetProtection autoFilter="0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BCBB3-1E97-491C-910F-995AA94037BA}">
  <sheetPr codeName="Sheet3">
    <tabColor theme="5" tint="-0.499984740745262"/>
  </sheetPr>
  <dimension ref="A1:F17"/>
  <sheetViews>
    <sheetView showGridLines="0" tabSelected="1" zoomScaleNormal="100" workbookViewId="0">
      <selection activeCell="F8" sqref="F8"/>
    </sheetView>
  </sheetViews>
  <sheetFormatPr defaultRowHeight="15" x14ac:dyDescent="0.25"/>
  <cols>
    <col min="1" max="1" width="7.85546875" style="1" customWidth="1"/>
    <col min="2" max="2" width="7.85546875" customWidth="1"/>
    <col min="3" max="3" width="55" style="3" customWidth="1"/>
    <col min="4" max="4" width="22.42578125" style="3" customWidth="1"/>
    <col min="5" max="5" width="7.140625" customWidth="1"/>
  </cols>
  <sheetData>
    <row r="1" spans="1:6" s="1" customFormat="1" ht="15.75" customHeight="1" x14ac:dyDescent="0.25">
      <c r="A1" s="18" t="s">
        <v>21</v>
      </c>
      <c r="B1" s="1" t="s">
        <v>13</v>
      </c>
      <c r="C1" s="2" t="s">
        <v>49</v>
      </c>
      <c r="D1" s="2" t="s">
        <v>50</v>
      </c>
      <c r="E1" s="1" t="s">
        <v>14</v>
      </c>
      <c r="F1" s="1" t="s">
        <v>0</v>
      </c>
    </row>
    <row r="2" spans="1:6" s="29" customFormat="1" x14ac:dyDescent="0.25">
      <c r="A2" s="1"/>
      <c r="C2" s="32"/>
      <c r="D2" s="32"/>
    </row>
    <row r="3" spans="1:6" x14ac:dyDescent="0.25">
      <c r="A3" s="1" t="s">
        <v>17</v>
      </c>
      <c r="C3" s="23" t="s">
        <v>60</v>
      </c>
      <c r="D3" s="36" t="s">
        <v>63</v>
      </c>
    </row>
    <row r="4" spans="1:6" x14ac:dyDescent="0.25">
      <c r="C4" s="23" t="s">
        <v>62</v>
      </c>
      <c r="D4" s="35"/>
    </row>
    <row r="5" spans="1:6" x14ac:dyDescent="0.25">
      <c r="C5" s="34" t="s">
        <v>61</v>
      </c>
      <c r="D5" s="35"/>
    </row>
    <row r="6" spans="1:6" x14ac:dyDescent="0.25">
      <c r="A6" s="1" t="s">
        <v>1</v>
      </c>
      <c r="C6"/>
    </row>
    <row r="7" spans="1:6" x14ac:dyDescent="0.25">
      <c r="A7" s="1" t="s">
        <v>37</v>
      </c>
      <c r="C7" s="16" t="s">
        <v>42</v>
      </c>
      <c r="D7" s="24" t="s">
        <v>64</v>
      </c>
    </row>
    <row r="8" spans="1:6" x14ac:dyDescent="0.25">
      <c r="A8" s="1" t="s">
        <v>38</v>
      </c>
      <c r="C8" s="16" t="s">
        <v>43</v>
      </c>
      <c r="D8" s="24" t="s">
        <v>64</v>
      </c>
    </row>
    <row r="9" spans="1:6" x14ac:dyDescent="0.25">
      <c r="A9" s="1" t="s">
        <v>39</v>
      </c>
      <c r="C9" s="16" t="s">
        <v>44</v>
      </c>
      <c r="D9" s="24" t="s">
        <v>65</v>
      </c>
    </row>
    <row r="10" spans="1:6" x14ac:dyDescent="0.25">
      <c r="A10" s="1" t="s">
        <v>40</v>
      </c>
      <c r="C10" s="16" t="s">
        <v>45</v>
      </c>
      <c r="D10" s="24" t="s">
        <v>66</v>
      </c>
    </row>
    <row r="11" spans="1:6" x14ac:dyDescent="0.25">
      <c r="A11" s="1" t="s">
        <v>41</v>
      </c>
      <c r="C11" s="16" t="s">
        <v>46</v>
      </c>
      <c r="D11" s="24" t="s">
        <v>67</v>
      </c>
    </row>
    <row r="12" spans="1:6" x14ac:dyDescent="0.25">
      <c r="A12" s="1" t="s">
        <v>56</v>
      </c>
      <c r="C12" s="16" t="s">
        <v>47</v>
      </c>
      <c r="D12" s="26" t="s">
        <v>68</v>
      </c>
    </row>
    <row r="13" spans="1:6" x14ac:dyDescent="0.25">
      <c r="A13" s="1" t="s">
        <v>57</v>
      </c>
      <c r="C13" s="16" t="s">
        <v>48</v>
      </c>
      <c r="D13" s="26" t="s">
        <v>69</v>
      </c>
    </row>
    <row r="14" spans="1:6" x14ac:dyDescent="0.25">
      <c r="A14" s="1" t="s">
        <v>2</v>
      </c>
      <c r="C14"/>
    </row>
    <row r="15" spans="1:6" x14ac:dyDescent="0.25">
      <c r="A15" s="1" t="s">
        <v>0</v>
      </c>
      <c r="C15" s="22"/>
      <c r="D15" s="22"/>
    </row>
    <row r="16" spans="1:6" x14ac:dyDescent="0.25">
      <c r="C16" s="31" t="s">
        <v>59</v>
      </c>
    </row>
    <row r="17" spans="3:3" x14ac:dyDescent="0.25">
      <c r="C17" s="33" t="s">
        <v>58</v>
      </c>
    </row>
  </sheetData>
  <sheetProtection algorithmName="SHA-512" hashValue="4xWZMRvP7aVlJlJLEvQekDrIPFjPGiVTdBGGD/R2n5b7JVMnumPmL3vl198mI0mi/nsT+rCqvgcAAuF7PrMggw==" saltValue="nceF87AsryvI+a19DZvEGQ==" spinCount="100000" sheet="1" objects="1" scenarios="1" autoFilter="0"/>
  <hyperlinks>
    <hyperlink ref="C17" r:id="rId1" xr:uid="{0691DF51-6975-4BEA-B5E8-98DF7DBCBCC0}"/>
    <hyperlink ref="C5" r:id="rId2" xr:uid="{BDB8712C-5F39-4A31-A4D4-4C1308115BC2}"/>
  </hyperlinks>
  <pageMargins left="0.7" right="0.7" top="0.75" bottom="0.75" header="0.3" footer="0.3"/>
  <pageSetup paperSize="9"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33B31-435A-4072-8262-2533769D5A5A}">
  <sheetPr codeName="Sheet10">
    <tabColor theme="9" tint="0.79998168889431442"/>
  </sheetPr>
  <dimension ref="A1:L23"/>
  <sheetViews>
    <sheetView workbookViewId="0">
      <selection activeCell="D11" sqref="D11"/>
    </sheetView>
  </sheetViews>
  <sheetFormatPr defaultRowHeight="15" x14ac:dyDescent="0.25"/>
  <cols>
    <col min="4" max="4" width="142.42578125" style="4" customWidth="1"/>
  </cols>
  <sheetData>
    <row r="1" spans="1:12" x14ac:dyDescent="0.25">
      <c r="A1" t="s">
        <v>21</v>
      </c>
    </row>
    <row r="4" spans="1:12" x14ac:dyDescent="0.25">
      <c r="D4" s="4" t="s">
        <v>18</v>
      </c>
    </row>
    <row r="5" spans="1:12" x14ac:dyDescent="0.25">
      <c r="D5" s="4" t="s">
        <v>19</v>
      </c>
    </row>
    <row r="8" spans="1:12" x14ac:dyDescent="0.25">
      <c r="D8" s="4" t="s">
        <v>15</v>
      </c>
      <c r="G8">
        <v>3.14</v>
      </c>
      <c r="H8">
        <v>4</v>
      </c>
      <c r="I8">
        <v>4</v>
      </c>
      <c r="J8">
        <v>8640</v>
      </c>
      <c r="K8">
        <v>1000000</v>
      </c>
      <c r="L8">
        <f>+G8*H8*I8*J8/K8</f>
        <v>0.43407360000000006</v>
      </c>
    </row>
    <row r="9" spans="1:12" x14ac:dyDescent="0.25">
      <c r="D9" s="4" t="s">
        <v>16</v>
      </c>
    </row>
    <row r="15" spans="1:12" x14ac:dyDescent="0.25">
      <c r="D15" s="4" t="s">
        <v>6</v>
      </c>
    </row>
    <row r="16" spans="1:12" x14ac:dyDescent="0.25">
      <c r="D16" s="4" t="s">
        <v>7</v>
      </c>
    </row>
    <row r="17" spans="4:11" x14ac:dyDescent="0.25">
      <c r="D17" s="4" t="s">
        <v>5</v>
      </c>
    </row>
    <row r="18" spans="4:11" x14ac:dyDescent="0.25">
      <c r="K18" s="7"/>
    </row>
    <row r="21" spans="4:11" x14ac:dyDescent="0.25">
      <c r="K21" s="7"/>
    </row>
    <row r="23" spans="4:11" x14ac:dyDescent="0.25">
      <c r="K23" s="7"/>
    </row>
  </sheetData>
  <sheetProtection autoFilter="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79560-1DC5-4D0C-B3C2-7E1F0FF7D41D}">
  <sheetPr codeName="Sheet12">
    <tabColor theme="9" tint="0.79998168889431442"/>
  </sheetPr>
  <dimension ref="A1:O18"/>
  <sheetViews>
    <sheetView zoomScale="85" zoomScaleNormal="85" workbookViewId="0">
      <selection activeCell="D11" sqref="D11"/>
    </sheetView>
  </sheetViews>
  <sheetFormatPr defaultRowHeight="15" x14ac:dyDescent="0.25"/>
  <cols>
    <col min="4" max="4" width="11.85546875" customWidth="1"/>
    <col min="5" max="5" width="14.140625" style="3" customWidth="1"/>
    <col min="6" max="6" width="5" style="3" customWidth="1"/>
    <col min="7" max="7" width="17" customWidth="1"/>
    <col min="8" max="8" width="15.5703125" bestFit="1" customWidth="1"/>
    <col min="9" max="9" width="22.140625" style="3" customWidth="1"/>
    <col min="10" max="10" width="9.140625" style="3"/>
    <col min="12" max="12" width="5.42578125" customWidth="1"/>
    <col min="13" max="13" width="66.28515625" customWidth="1"/>
    <col min="14" max="14" width="5.42578125" customWidth="1"/>
    <col min="15" max="15" width="81.85546875" customWidth="1"/>
  </cols>
  <sheetData>
    <row r="1" spans="1:15" x14ac:dyDescent="0.25">
      <c r="A1" t="s">
        <v>21</v>
      </c>
    </row>
    <row r="5" spans="1:15" x14ac:dyDescent="0.25">
      <c r="D5" t="s">
        <v>51</v>
      </c>
      <c r="E5" s="17" t="s">
        <v>55</v>
      </c>
      <c r="F5" s="17" t="s">
        <v>53</v>
      </c>
      <c r="G5" s="30" t="s">
        <v>37</v>
      </c>
      <c r="H5" s="25" t="str">
        <f>+UPPER(MID(G5,1,1))&amp;MID(G5,2,99)</f>
        <v>Name</v>
      </c>
      <c r="I5" s="26" t="str">
        <f>+CONCATENATE(F5,H5)</f>
        <v>rName</v>
      </c>
      <c r="J5" s="3" t="s">
        <v>3</v>
      </c>
      <c r="K5" s="28" t="s">
        <v>52</v>
      </c>
      <c r="M5" s="27" t="str">
        <f t="shared" ref="M5:M11" si="0">+CONCATENATE(D5," ",I5," ",J5," ",K5)</f>
        <v>Private rName as Long</v>
      </c>
      <c r="O5" s="27" t="str">
        <f>+CONCATENATE(I5," ","= WorksheetFunction.Match(""",G5,""",",E5,",0)")</f>
        <v>rName = WorksheetFunction.Match("name",solBaslik,0)</v>
      </c>
    </row>
    <row r="6" spans="1:15" x14ac:dyDescent="0.25">
      <c r="D6" t="s">
        <v>51</v>
      </c>
      <c r="E6" s="17" t="s">
        <v>55</v>
      </c>
      <c r="F6" s="17" t="s">
        <v>53</v>
      </c>
      <c r="G6" s="30" t="s">
        <v>38</v>
      </c>
      <c r="H6" s="25" t="str">
        <f t="shared" ref="H6:H11" si="1">+UPPER(MID(G6,1,1))&amp;MID(G6,2,99)</f>
        <v>Native</v>
      </c>
      <c r="I6" s="26" t="str">
        <f t="shared" ref="I6:I11" si="2">+CONCATENATE(F6,H6)</f>
        <v>rNative</v>
      </c>
      <c r="J6" s="3" t="s">
        <v>3</v>
      </c>
      <c r="K6" s="28" t="s">
        <v>52</v>
      </c>
      <c r="M6" s="27" t="str">
        <f t="shared" si="0"/>
        <v>Private rNative as Long</v>
      </c>
      <c r="O6" s="27" t="str">
        <f t="shared" ref="O6:O11" si="3">+CONCATENATE(I6," ","= WorksheetFunction.Match(""",G6,""",",E6,",0)")</f>
        <v>rNative = WorksheetFunction.Match("native",solBaslik,0)</v>
      </c>
    </row>
    <row r="7" spans="1:15" x14ac:dyDescent="0.25">
      <c r="D7" t="s">
        <v>51</v>
      </c>
      <c r="E7" s="17" t="s">
        <v>55</v>
      </c>
      <c r="F7" s="17" t="s">
        <v>53</v>
      </c>
      <c r="G7" s="30" t="s">
        <v>39</v>
      </c>
      <c r="H7" s="25" t="str">
        <f t="shared" si="1"/>
        <v>Capital</v>
      </c>
      <c r="I7" s="26" t="str">
        <f t="shared" si="2"/>
        <v>rCapital</v>
      </c>
      <c r="J7" s="3" t="s">
        <v>3</v>
      </c>
      <c r="K7" s="28" t="s">
        <v>52</v>
      </c>
      <c r="M7" s="27" t="str">
        <f t="shared" si="0"/>
        <v>Private rCapital as Long</v>
      </c>
      <c r="O7" s="27" t="str">
        <f t="shared" si="3"/>
        <v>rCapital = WorksheetFunction.Match("capital",solBaslik,0)</v>
      </c>
    </row>
    <row r="8" spans="1:15" x14ac:dyDescent="0.25">
      <c r="D8" t="s">
        <v>51</v>
      </c>
      <c r="E8" s="17" t="s">
        <v>55</v>
      </c>
      <c r="F8" s="17" t="s">
        <v>53</v>
      </c>
      <c r="G8" s="30" t="s">
        <v>40</v>
      </c>
      <c r="H8" s="25" t="str">
        <f t="shared" si="1"/>
        <v>Emoji</v>
      </c>
      <c r="I8" s="26" t="str">
        <f t="shared" si="2"/>
        <v>rEmoji</v>
      </c>
      <c r="J8" s="3" t="s">
        <v>3</v>
      </c>
      <c r="K8" s="28" t="s">
        <v>52</v>
      </c>
      <c r="M8" s="27" t="str">
        <f t="shared" si="0"/>
        <v>Private rEmoji as Long</v>
      </c>
      <c r="O8" s="27" t="str">
        <f t="shared" si="3"/>
        <v>rEmoji = WorksheetFunction.Match("emoji",solBaslik,0)</v>
      </c>
    </row>
    <row r="9" spans="1:15" x14ac:dyDescent="0.25">
      <c r="D9" t="s">
        <v>51</v>
      </c>
      <c r="E9" s="17" t="s">
        <v>55</v>
      </c>
      <c r="F9" s="17" t="s">
        <v>53</v>
      </c>
      <c r="G9" s="30" t="s">
        <v>41</v>
      </c>
      <c r="H9" s="25" t="str">
        <f t="shared" si="1"/>
        <v>Currency</v>
      </c>
      <c r="I9" s="26" t="str">
        <f t="shared" si="2"/>
        <v>rCurrency</v>
      </c>
      <c r="J9" s="3" t="s">
        <v>3</v>
      </c>
      <c r="K9" s="28" t="s">
        <v>52</v>
      </c>
      <c r="M9" s="27" t="str">
        <f t="shared" si="0"/>
        <v>Private rCurrency as Long</v>
      </c>
      <c r="O9" s="27" t="str">
        <f t="shared" si="3"/>
        <v>rCurrency = WorksheetFunction.Match("currency",solBaslik,0)</v>
      </c>
    </row>
    <row r="10" spans="1:15" x14ac:dyDescent="0.25">
      <c r="D10" t="s">
        <v>51</v>
      </c>
      <c r="E10" s="17" t="s">
        <v>55</v>
      </c>
      <c r="F10" s="17" t="s">
        <v>53</v>
      </c>
      <c r="G10" s="30" t="s">
        <v>56</v>
      </c>
      <c r="H10" s="25" t="str">
        <f t="shared" si="1"/>
        <v>LanguageCode</v>
      </c>
      <c r="I10" s="26" t="str">
        <f t="shared" si="2"/>
        <v>rLanguageCode</v>
      </c>
      <c r="J10" s="3" t="s">
        <v>3</v>
      </c>
      <c r="K10" s="28" t="s">
        <v>52</v>
      </c>
      <c r="M10" s="27" t="str">
        <f t="shared" si="0"/>
        <v>Private rLanguageCode as Long</v>
      </c>
      <c r="O10" s="27" t="str">
        <f t="shared" si="3"/>
        <v>rLanguageCode = WorksheetFunction.Match("languageCode",solBaslik,0)</v>
      </c>
    </row>
    <row r="11" spans="1:15" x14ac:dyDescent="0.25">
      <c r="D11" t="s">
        <v>51</v>
      </c>
      <c r="E11" s="17" t="s">
        <v>55</v>
      </c>
      <c r="F11" s="17" t="s">
        <v>53</v>
      </c>
      <c r="G11" s="30" t="s">
        <v>57</v>
      </c>
      <c r="H11" s="25" t="str">
        <f t="shared" si="1"/>
        <v>LanguageName</v>
      </c>
      <c r="I11" s="26" t="str">
        <f t="shared" si="2"/>
        <v>rLanguageName</v>
      </c>
      <c r="J11" s="3" t="s">
        <v>3</v>
      </c>
      <c r="K11" s="28" t="s">
        <v>52</v>
      </c>
      <c r="M11" s="27" t="str">
        <f t="shared" si="0"/>
        <v>Private rLanguageName as Long</v>
      </c>
      <c r="O11" s="27" t="str">
        <f t="shared" si="3"/>
        <v>rLanguageName = WorksheetFunction.Match("languageName",solBaslik,0)</v>
      </c>
    </row>
    <row r="14" spans="1:15" x14ac:dyDescent="0.25">
      <c r="D14" t="s">
        <v>51</v>
      </c>
      <c r="E14" s="17" t="s">
        <v>54</v>
      </c>
      <c r="F14" s="17" t="s">
        <v>4</v>
      </c>
      <c r="G14" s="30" t="s">
        <v>13</v>
      </c>
      <c r="H14" s="25" t="str">
        <f>+UPPER(MID(G14,1,1))&amp;MID(G14,2,99)</f>
        <v>Bas</v>
      </c>
      <c r="I14" s="26" t="str">
        <f>+CONCATENATE(F14,H14)</f>
        <v>cBas</v>
      </c>
      <c r="J14" s="3" t="s">
        <v>3</v>
      </c>
      <c r="K14" s="28" t="s">
        <v>52</v>
      </c>
      <c r="M14" s="27" t="str">
        <f>+CONCATENATE(D14," ",I14," ",J14," ",K14)</f>
        <v>Private cBas as Long</v>
      </c>
      <c r="O14" s="27" t="str">
        <f>+CONCATENATE(I14," ","= WorksheetFunction.Match(""",G14,""",",E14,",0)")</f>
        <v>cBas = WorksheetFunction.Match("bas",ustBaslik,0)</v>
      </c>
    </row>
    <row r="15" spans="1:15" x14ac:dyDescent="0.25">
      <c r="D15" t="s">
        <v>51</v>
      </c>
      <c r="E15" s="17" t="s">
        <v>54</v>
      </c>
      <c r="F15" s="17" t="s">
        <v>4</v>
      </c>
      <c r="G15" s="30" t="s">
        <v>49</v>
      </c>
      <c r="H15" s="25" t="str">
        <f t="shared" ref="H15:H18" si="4">+UPPER(MID(G15,1,1))&amp;MID(G15,2,99)</f>
        <v>Key</v>
      </c>
      <c r="I15" s="26" t="str">
        <f t="shared" ref="I15:I18" si="5">+CONCATENATE(F15,H15)</f>
        <v>cKey</v>
      </c>
      <c r="J15" s="3" t="s">
        <v>3</v>
      </c>
      <c r="K15" s="28" t="s">
        <v>52</v>
      </c>
      <c r="M15" s="27" t="str">
        <f>+CONCATENATE(D15," ",I15," ",J15," ",K15)</f>
        <v>Private cKey as Long</v>
      </c>
      <c r="O15" s="27" t="str">
        <f t="shared" ref="O15:O18" si="6">+CONCATENATE(I15," ","= WorksheetFunction.Match(""",G15,""",",E15,",0)")</f>
        <v>cKey = WorksheetFunction.Match("key",ustBaslik,0)</v>
      </c>
    </row>
    <row r="16" spans="1:15" x14ac:dyDescent="0.25">
      <c r="D16" t="s">
        <v>51</v>
      </c>
      <c r="E16" s="17" t="s">
        <v>54</v>
      </c>
      <c r="F16" s="17" t="s">
        <v>4</v>
      </c>
      <c r="G16" s="30" t="s">
        <v>50</v>
      </c>
      <c r="H16" s="25" t="str">
        <f t="shared" si="4"/>
        <v>Value</v>
      </c>
      <c r="I16" s="26" t="str">
        <f t="shared" si="5"/>
        <v>cValue</v>
      </c>
      <c r="J16" s="3" t="s">
        <v>3</v>
      </c>
      <c r="K16" s="28" t="s">
        <v>52</v>
      </c>
      <c r="M16" s="27" t="str">
        <f>+CONCATENATE(D16," ",I16," ",J16," ",K16)</f>
        <v>Private cValue as Long</v>
      </c>
      <c r="O16" s="27" t="str">
        <f t="shared" si="6"/>
        <v>cValue = WorksheetFunction.Match("value",ustBaslik,0)</v>
      </c>
    </row>
    <row r="17" spans="4:15" x14ac:dyDescent="0.25">
      <c r="D17" t="s">
        <v>51</v>
      </c>
      <c r="E17" s="17" t="s">
        <v>54</v>
      </c>
      <c r="F17" s="17" t="s">
        <v>4</v>
      </c>
      <c r="G17" s="30" t="s">
        <v>14</v>
      </c>
      <c r="H17" s="25" t="str">
        <f t="shared" si="4"/>
        <v>Son</v>
      </c>
      <c r="I17" s="26" t="str">
        <f t="shared" si="5"/>
        <v>cSon</v>
      </c>
      <c r="J17" s="3" t="s">
        <v>3</v>
      </c>
      <c r="K17" s="28" t="s">
        <v>52</v>
      </c>
      <c r="M17" s="27" t="str">
        <f>+CONCATENATE(D17," ",I17," ",J17," ",K17)</f>
        <v>Private cSon as Long</v>
      </c>
      <c r="O17" s="27" t="str">
        <f t="shared" si="6"/>
        <v>cSon = WorksheetFunction.Match("son",ustBaslik,0)</v>
      </c>
    </row>
    <row r="18" spans="4:15" x14ac:dyDescent="0.25">
      <c r="D18" t="s">
        <v>51</v>
      </c>
      <c r="E18" s="17" t="s">
        <v>54</v>
      </c>
      <c r="F18" s="17" t="s">
        <v>4</v>
      </c>
      <c r="G18" s="30" t="s">
        <v>0</v>
      </c>
      <c r="H18" s="25" t="str">
        <f t="shared" si="4"/>
        <v>Sinir</v>
      </c>
      <c r="I18" s="26" t="str">
        <f t="shared" si="5"/>
        <v>cSinir</v>
      </c>
      <c r="J18" s="3" t="s">
        <v>3</v>
      </c>
      <c r="K18" s="28" t="s">
        <v>52</v>
      </c>
      <c r="M18" s="27" t="str">
        <f>+CONCATENATE(D18," ",I18," ",J18," ",K18)</f>
        <v>Private cSinir as Long</v>
      </c>
      <c r="O18" s="27" t="str">
        <f t="shared" si="6"/>
        <v>cSinir = WorksheetFunction.Match("sinir",ustBaslik,0)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F9C1D-6D29-4566-BE48-438C17BAD2B6}">
  <sheetPr codeName="Sheet4">
    <tabColor theme="9" tint="0.79998168889431442"/>
  </sheetPr>
  <dimension ref="A1"/>
  <sheetViews>
    <sheetView workbookViewId="0">
      <selection activeCell="D11" sqref="D11"/>
    </sheetView>
  </sheetViews>
  <sheetFormatPr defaultRowHeight="15" x14ac:dyDescent="0.25"/>
  <sheetData>
    <row r="1" spans="1:1" x14ac:dyDescent="0.25">
      <c r="A1" t="s">
        <v>21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user</vt:lpstr>
      <vt:lpstr>CHAT</vt:lpstr>
      <vt:lpstr>GRAPHQL_API</vt:lpstr>
      <vt:lpstr>--notlar--</vt:lpstr>
      <vt:lpstr>editor1</vt:lpstr>
      <vt:lpstr>tools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Mahmut Kaya</dc:creator>
  <cp:lastModifiedBy>Mahmut Kaya</cp:lastModifiedBy>
  <cp:lastPrinted>2022-10-04T05:43:50Z</cp:lastPrinted>
  <dcterms:created xsi:type="dcterms:W3CDTF">2022-07-04T07:10:42Z</dcterms:created>
  <dcterms:modified xsi:type="dcterms:W3CDTF">2022-11-17T16:02:15Z</dcterms:modified>
</cp:coreProperties>
</file>